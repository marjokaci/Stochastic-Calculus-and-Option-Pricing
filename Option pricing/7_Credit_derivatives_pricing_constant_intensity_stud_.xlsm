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" windowWidth="11325" windowHeight="7245" tabRatio="656" activeTab="4"/>
  </bookViews>
  <sheets>
    <sheet name="Data" sheetId="16" r:id="rId1"/>
    <sheet name="Assumptions" sheetId="35" r:id="rId2"/>
    <sheet name="Default_probs" sheetId="17" r:id="rId3"/>
    <sheet name="Default_put_option" sheetId="21" r:id="rId4"/>
    <sheet name="Default_swap_rate" sheetId="37" r:id="rId5"/>
    <sheet name="Default_swap_value" sheetId="23" r:id="rId6"/>
  </sheets>
  <functionGroups builtInGroupCount="17"/>
  <definedNames>
    <definedName name="solver_adj" localSheetId="4" hidden="1">Default_swap_rate!#REF!</definedName>
    <definedName name="solver_adj" localSheetId="5" hidden="1">Default_swap_value!$C$7</definedName>
    <definedName name="solver_cvg" localSheetId="4" hidden="1">0.0001</definedName>
    <definedName name="solver_cvg" localSheetId="5" hidden="1">0.0001</definedName>
    <definedName name="solver_drv" localSheetId="4" hidden="1">1</definedName>
    <definedName name="solver_drv" localSheetId="5" hidden="1">1</definedName>
    <definedName name="solver_est" localSheetId="4" hidden="1">1</definedName>
    <definedName name="solver_est" localSheetId="5" hidden="1">1</definedName>
    <definedName name="solver_itr" localSheetId="4" hidden="1">100</definedName>
    <definedName name="solver_itr" localSheetId="5" hidden="1">100</definedName>
    <definedName name="solver_lin" localSheetId="4" hidden="1">2</definedName>
    <definedName name="solver_lin" localSheetId="5" hidden="1">2</definedName>
    <definedName name="solver_neg" localSheetId="4" hidden="1">2</definedName>
    <definedName name="solver_neg" localSheetId="5" hidden="1">2</definedName>
    <definedName name="solver_num" localSheetId="4" hidden="1">0</definedName>
    <definedName name="solver_num" localSheetId="5" hidden="1">0</definedName>
    <definedName name="solver_nwt" localSheetId="4" hidden="1">1</definedName>
    <definedName name="solver_nwt" localSheetId="5" hidden="1">1</definedName>
    <definedName name="solver_opt" localSheetId="4" hidden="1">Default_swap_rate!$I$13</definedName>
    <definedName name="solver_opt" localSheetId="5" hidden="1">Default_swap_value!$I$14</definedName>
    <definedName name="solver_pre" localSheetId="4" hidden="1">0.000001</definedName>
    <definedName name="solver_pre" localSheetId="5" hidden="1">0.000001</definedName>
    <definedName name="solver_scl" localSheetId="4" hidden="1">2</definedName>
    <definedName name="solver_scl" localSheetId="5" hidden="1">2</definedName>
    <definedName name="solver_sho" localSheetId="4" hidden="1">2</definedName>
    <definedName name="solver_sho" localSheetId="5" hidden="1">2</definedName>
    <definedName name="solver_tim" localSheetId="4" hidden="1">100</definedName>
    <definedName name="solver_tim" localSheetId="5" hidden="1">100</definedName>
    <definedName name="solver_tol" localSheetId="4" hidden="1">0.05</definedName>
    <definedName name="solver_tol" localSheetId="5" hidden="1">0.05</definedName>
    <definedName name="solver_typ" localSheetId="4" hidden="1">3</definedName>
    <definedName name="solver_typ" localSheetId="5" hidden="1">3</definedName>
    <definedName name="solver_val" localSheetId="4" hidden="1">0</definedName>
    <definedName name="solver_val" localSheetId="5" hidden="1">0</definedName>
  </definedNames>
  <calcPr calcId="145621"/>
</workbook>
</file>

<file path=xl/calcChain.xml><?xml version="1.0" encoding="utf-8"?>
<calcChain xmlns="http://schemas.openxmlformats.org/spreadsheetml/2006/main">
  <c r="H10" i="37" l="1"/>
  <c r="H11" i="37"/>
  <c r="H12" i="37"/>
  <c r="H13" i="37"/>
  <c r="H9" i="37"/>
  <c r="G10" i="37"/>
  <c r="G11" i="37"/>
  <c r="G12" i="37"/>
  <c r="G13" i="37"/>
  <c r="G9" i="37"/>
  <c r="I11" i="23" l="1"/>
  <c r="I12" i="23"/>
  <c r="I13" i="23"/>
  <c r="I14" i="23"/>
  <c r="I10" i="23"/>
  <c r="H11" i="23"/>
  <c r="H12" i="23"/>
  <c r="H13" i="23"/>
  <c r="H14" i="23"/>
  <c r="H10" i="23"/>
  <c r="G11" i="23"/>
  <c r="G12" i="23"/>
  <c r="G13" i="23"/>
  <c r="G14" i="23"/>
  <c r="G10" i="23"/>
  <c r="F11" i="23"/>
  <c r="F12" i="23"/>
  <c r="F13" i="23"/>
  <c r="F14" i="23"/>
  <c r="F10" i="23"/>
  <c r="I10" i="37"/>
  <c r="I11" i="37"/>
  <c r="I12" i="37"/>
  <c r="I13" i="37"/>
  <c r="I9" i="37"/>
  <c r="B18" i="37"/>
  <c r="B19" i="37"/>
  <c r="B20" i="37"/>
  <c r="B21" i="37"/>
  <c r="B17" i="37"/>
  <c r="F9" i="37"/>
  <c r="F10" i="37"/>
  <c r="F11" i="37"/>
  <c r="F12" i="37"/>
  <c r="F13" i="37"/>
  <c r="F13" i="21"/>
  <c r="F12" i="21"/>
  <c r="F11" i="21"/>
  <c r="F10" i="21"/>
  <c r="F9" i="21"/>
  <c r="R6" i="17"/>
  <c r="R7" i="17"/>
  <c r="R8" i="17"/>
  <c r="R9" i="17"/>
  <c r="R5" i="17"/>
  <c r="Q6" i="17"/>
  <c r="Q7" i="17"/>
  <c r="Q8" i="17"/>
  <c r="Q9" i="17"/>
  <c r="Q5" i="17"/>
  <c r="J6" i="17"/>
  <c r="J7" i="17"/>
  <c r="J8" i="17"/>
  <c r="J9" i="17"/>
  <c r="J5" i="17"/>
  <c r="E11" i="21"/>
  <c r="K8" i="17"/>
  <c r="E9" i="37"/>
  <c r="D6" i="17"/>
  <c r="D7" i="17"/>
  <c r="C11" i="37"/>
  <c r="D8" i="17"/>
  <c r="C12" i="21"/>
  <c r="D9" i="17"/>
  <c r="C13" i="37"/>
  <c r="D5" i="17"/>
  <c r="C9" i="37"/>
  <c r="K6" i="17"/>
  <c r="K9" i="17"/>
  <c r="E10" i="21"/>
  <c r="C5" i="17"/>
  <c r="B5" i="17"/>
  <c r="H5" i="17"/>
  <c r="G5" i="17"/>
  <c r="F5" i="17"/>
  <c r="I5" i="17"/>
  <c r="D10" i="23"/>
  <c r="C6" i="17"/>
  <c r="B6" i="17"/>
  <c r="C10" i="37"/>
  <c r="H6" i="17"/>
  <c r="G6" i="17"/>
  <c r="F6" i="17"/>
  <c r="D9" i="37"/>
  <c r="D9" i="21"/>
  <c r="F26" i="16"/>
  <c r="F25" i="16"/>
  <c r="O6" i="17"/>
  <c r="N6" i="17"/>
  <c r="M6" i="17"/>
  <c r="P5" i="17"/>
  <c r="H7" i="17"/>
  <c r="G7" i="17"/>
  <c r="F7" i="17"/>
  <c r="H8" i="17"/>
  <c r="G8" i="17"/>
  <c r="F8" i="17"/>
  <c r="H9" i="17"/>
  <c r="G9" i="17"/>
  <c r="F9" i="17"/>
  <c r="O9" i="17"/>
  <c r="N9" i="17"/>
  <c r="M9" i="17"/>
  <c r="O8" i="17"/>
  <c r="N8" i="17"/>
  <c r="M8" i="17"/>
  <c r="O7" i="17"/>
  <c r="N7" i="17"/>
  <c r="M7" i="17"/>
  <c r="O5" i="17"/>
  <c r="N5" i="17"/>
  <c r="M5" i="17"/>
  <c r="C7" i="17"/>
  <c r="C8" i="17"/>
  <c r="C9" i="17"/>
  <c r="B7" i="17"/>
  <c r="B8" i="17"/>
  <c r="B9" i="17"/>
  <c r="M4" i="17"/>
  <c r="F4" i="17"/>
  <c r="C10" i="21"/>
  <c r="C11" i="21"/>
  <c r="E13" i="21"/>
  <c r="C13" i="21"/>
  <c r="B10" i="21"/>
  <c r="B11" i="21"/>
  <c r="B12" i="21"/>
  <c r="B13" i="21"/>
  <c r="B9" i="21"/>
  <c r="E13" i="37"/>
  <c r="B10" i="37"/>
  <c r="B11" i="37"/>
  <c r="B12" i="37"/>
  <c r="B13" i="37"/>
  <c r="B9" i="37"/>
  <c r="C11" i="23"/>
  <c r="E14" i="23"/>
  <c r="C14" i="23"/>
  <c r="B11" i="23"/>
  <c r="B12" i="23"/>
  <c r="B13" i="23"/>
  <c r="B14" i="23"/>
  <c r="B10" i="23"/>
  <c r="E13" i="23"/>
  <c r="E12" i="37"/>
  <c r="E12" i="21"/>
  <c r="K7" i="17"/>
  <c r="K5" i="17"/>
  <c r="C13" i="23"/>
  <c r="C12" i="23"/>
  <c r="C12" i="37"/>
  <c r="C10" i="23"/>
  <c r="C9" i="21"/>
  <c r="E12" i="23"/>
  <c r="E11" i="37"/>
  <c r="E11" i="23"/>
  <c r="E10" i="37"/>
  <c r="E10" i="23"/>
  <c r="E9" i="21"/>
</calcChain>
</file>

<file path=xl/sharedStrings.xml><?xml version="1.0" encoding="utf-8"?>
<sst xmlns="http://schemas.openxmlformats.org/spreadsheetml/2006/main" count="84" uniqueCount="56">
  <si>
    <t xml:space="preserve">CURRENT TIME: </t>
  </si>
  <si>
    <t>Maturity</t>
  </si>
  <si>
    <t>TERM STRUCTURE FOR DIFFERENT RATING CLASSES</t>
  </si>
  <si>
    <t>BBB+</t>
  </si>
  <si>
    <t xml:space="preserve">SOURCE: </t>
  </si>
  <si>
    <t>STANDARD&amp;POOR</t>
  </si>
  <si>
    <t>RATINGS</t>
  </si>
  <si>
    <t>BAYER</t>
  </si>
  <si>
    <t>A+</t>
  </si>
  <si>
    <t>TELECOM</t>
  </si>
  <si>
    <t>RECOVERY RATES</t>
  </si>
  <si>
    <t>SENIOR UNSECURED</t>
  </si>
  <si>
    <t>BLOOMBERG</t>
  </si>
  <si>
    <t xml:space="preserve">Notes: </t>
  </si>
  <si>
    <t>2) Sector: Composite</t>
  </si>
  <si>
    <t>Risk-free bond</t>
  </si>
  <si>
    <t>AAA yield</t>
  </si>
  <si>
    <t>3) Time in years</t>
  </si>
  <si>
    <t>BBB yield</t>
  </si>
  <si>
    <t>A yield</t>
  </si>
  <si>
    <t>Recovery rate</t>
  </si>
  <si>
    <t>TERM STRUCTURE RISK-FREE</t>
  </si>
  <si>
    <t>Default prob</t>
  </si>
  <si>
    <t>Hazard rate</t>
  </si>
  <si>
    <t>NON VULNERABLE DEFAULT PUT OPTION</t>
  </si>
  <si>
    <t>Notional</t>
  </si>
  <si>
    <t>Default put option price</t>
  </si>
  <si>
    <t>Contingent leg</t>
  </si>
  <si>
    <t>Fee leg</t>
  </si>
  <si>
    <t>Default swap price (long)</t>
  </si>
  <si>
    <t>Swap rate</t>
  </si>
  <si>
    <t>Fee leg component</t>
  </si>
  <si>
    <t>INSERT NOTIONAL</t>
  </si>
  <si>
    <t>&lt;- as a fraction of notional in bp/year</t>
  </si>
  <si>
    <t>ASSUMPTIONS</t>
  </si>
  <si>
    <t>Interest rates and defaults are independent</t>
  </si>
  <si>
    <t>INSERT NOTIONAL AND SWAP RATE</t>
  </si>
  <si>
    <t>1) % continuous yield</t>
  </si>
  <si>
    <t>Modelling assumptions:</t>
  </si>
  <si>
    <t>MOODY'S</t>
  </si>
  <si>
    <t>Bond yield (reference)</t>
  </si>
  <si>
    <t>Bond yield (seller)</t>
  </si>
  <si>
    <t>DEFAULT PROBS AND HAZARD RATES FOR REFERENCE</t>
  </si>
  <si>
    <t>DEFAULT PROBS AND HAZARD RATES FOR SELLER</t>
  </si>
  <si>
    <t>Intensity based model with piece-wise constant intensity</t>
  </si>
  <si>
    <t>1.</t>
  </si>
  <si>
    <t>2.</t>
  </si>
  <si>
    <t>NON VULNERABLE DEFAULT SWAP: SWAP RATE</t>
  </si>
  <si>
    <t xml:space="preserve">INSERT NOTIONAL </t>
  </si>
  <si>
    <t>Swap rate (bp/year)</t>
  </si>
  <si>
    <t>NON VULNERABLE DEFAULT SWAP VALUE</t>
  </si>
  <si>
    <t>componente della sommatoria al denominatore di "a"</t>
  </si>
  <si>
    <t>t0=1</t>
  </si>
  <si>
    <t>t1=2</t>
  </si>
  <si>
    <t>…</t>
  </si>
  <si>
    <t>t4=5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</si>
</sst>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#,##0.0000"/>
    <numFmt numFmtId="166" formatCode="0.000"/>
  </numFmts>
  <fonts count="7" x14ac:knownFonts="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</fills>
  <borders count="1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1" xfId="0" applyFill="1" applyBorder="1"/>
    <xf numFmtId="0" fontId="0" fillId="0" borderId="0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1" xfId="0" applyFill="1" applyBorder="1"/>
    <xf numFmtId="14" fontId="0" fillId="0" borderId="4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3" borderId="2" xfId="0" applyFill="1" applyBorder="1" applyAlignment="1">
      <alignment horizontal="left"/>
    </xf>
    <xf numFmtId="0" fontId="1" fillId="0" borderId="0" xfId="0" applyFont="1" applyFill="1" applyAlignment="1">
      <alignment horizontal="center" vertical="center" wrapText="1"/>
    </xf>
    <xf numFmtId="0" fontId="3" fillId="0" borderId="0" xfId="0" applyFont="1" applyFill="1"/>
    <xf numFmtId="0" fontId="3" fillId="0" borderId="0" xfId="0" applyFont="1" applyFill="1" applyAlignment="1">
      <alignment horizontal="center" vertical="center" wrapText="1"/>
    </xf>
    <xf numFmtId="165" fontId="3" fillId="0" borderId="0" xfId="0" applyNumberFormat="1" applyFont="1" applyFill="1"/>
    <xf numFmtId="166" fontId="3" fillId="0" borderId="0" xfId="0" applyNumberFormat="1" applyFont="1" applyFill="1" applyAlignment="1">
      <alignment horizontal="center"/>
    </xf>
    <xf numFmtId="0" fontId="2" fillId="0" borderId="0" xfId="0" applyFont="1" applyFill="1"/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3" borderId="4" xfId="0" applyFill="1" applyBorder="1" applyAlignment="1">
      <alignment horizontal="center" vertical="center" wrapText="1"/>
    </xf>
    <xf numFmtId="0" fontId="0" fillId="0" borderId="10" xfId="0" applyBorder="1"/>
    <xf numFmtId="0" fontId="0" fillId="0" borderId="8" xfId="0" applyBorder="1"/>
    <xf numFmtId="0" fontId="0" fillId="0" borderId="11" xfId="0" applyBorder="1"/>
    <xf numFmtId="0" fontId="0" fillId="0" borderId="9" xfId="0" applyBorder="1"/>
    <xf numFmtId="166" fontId="1" fillId="0" borderId="0" xfId="0" applyNumberFormat="1" applyFont="1" applyFill="1" applyAlignment="1">
      <alignment horizontal="center"/>
    </xf>
    <xf numFmtId="164" fontId="3" fillId="0" borderId="6" xfId="0" applyNumberFormat="1" applyFont="1" applyFill="1" applyBorder="1" applyAlignment="1">
      <alignment horizontal="center"/>
    </xf>
    <xf numFmtId="164" fontId="3" fillId="0" borderId="7" xfId="0" applyNumberFormat="1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164" fontId="1" fillId="0" borderId="5" xfId="0" applyNumberFormat="1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164" fontId="1" fillId="0" borderId="6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164" fontId="1" fillId="0" borderId="7" xfId="0" applyNumberFormat="1" applyFont="1" applyFill="1" applyBorder="1" applyAlignment="1">
      <alignment horizontal="center"/>
    </xf>
    <xf numFmtId="0" fontId="3" fillId="2" borderId="3" xfId="0" applyFont="1" applyFill="1" applyBorder="1"/>
    <xf numFmtId="0" fontId="3" fillId="2" borderId="1" xfId="0" applyFont="1" applyFill="1" applyBorder="1"/>
    <xf numFmtId="0" fontId="1" fillId="0" borderId="0" xfId="0" applyFont="1" applyFill="1"/>
    <xf numFmtId="0" fontId="1" fillId="2" borderId="3" xfId="0" applyFont="1" applyFill="1" applyBorder="1"/>
    <xf numFmtId="0" fontId="1" fillId="2" borderId="1" xfId="0" applyFont="1" applyFill="1" applyBorder="1"/>
    <xf numFmtId="0" fontId="1" fillId="0" borderId="0" xfId="0" applyFont="1" applyFill="1" applyBorder="1"/>
    <xf numFmtId="0" fontId="4" fillId="2" borderId="2" xfId="0" applyFont="1" applyFill="1" applyBorder="1"/>
    <xf numFmtId="0" fontId="1" fillId="0" borderId="1" xfId="0" applyFont="1" applyFill="1" applyBorder="1"/>
    <xf numFmtId="0" fontId="1" fillId="3" borderId="4" xfId="0" applyFont="1" applyFill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3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/>
    </xf>
    <xf numFmtId="0" fontId="1" fillId="0" borderId="8" xfId="0" applyFont="1" applyFill="1" applyBorder="1"/>
    <xf numFmtId="0" fontId="1" fillId="3" borderId="5" xfId="0" applyFont="1" applyFill="1" applyBorder="1"/>
    <xf numFmtId="0" fontId="1" fillId="3" borderId="7" xfId="0" applyFont="1" applyFill="1" applyBorder="1"/>
    <xf numFmtId="1" fontId="1" fillId="0" borderId="9" xfId="0" applyNumberFormat="1" applyFont="1" applyFill="1" applyBorder="1"/>
    <xf numFmtId="0" fontId="1" fillId="3" borderId="5" xfId="0" applyFont="1" applyFill="1" applyBorder="1" applyAlignment="1">
      <alignment horizontal="center" vertical="top" wrapText="1"/>
    </xf>
    <xf numFmtId="0" fontId="3" fillId="0" borderId="0" xfId="0" applyFont="1" applyFill="1" applyBorder="1"/>
    <xf numFmtId="164" fontId="3" fillId="0" borderId="0" xfId="0" applyNumberFormat="1" applyFont="1" applyFill="1" applyBorder="1" applyAlignment="1">
      <alignment horizontal="center"/>
    </xf>
    <xf numFmtId="0" fontId="5" fillId="4" borderId="2" xfId="0" applyFont="1" applyFill="1" applyBorder="1"/>
    <xf numFmtId="0" fontId="5" fillId="4" borderId="1" xfId="0" applyFont="1" applyFill="1" applyBorder="1"/>
    <xf numFmtId="0" fontId="4" fillId="0" borderId="0" xfId="0" applyFont="1" applyFill="1" applyBorder="1" applyAlignment="1">
      <alignment horizontal="left"/>
    </xf>
    <xf numFmtId="0" fontId="6" fillId="2" borderId="3" xfId="0" applyFont="1" applyFill="1" applyBorder="1"/>
    <xf numFmtId="0" fontId="6" fillId="2" borderId="1" xfId="0" applyFont="1" applyFill="1" applyBorder="1"/>
    <xf numFmtId="0" fontId="4" fillId="2" borderId="4" xfId="0" applyFont="1" applyFill="1" applyBorder="1"/>
    <xf numFmtId="0" fontId="1" fillId="0" borderId="0" xfId="0" applyFont="1" applyFill="1" applyBorder="1" applyAlignment="1">
      <alignment horizontal="center" vertical="top"/>
    </xf>
    <xf numFmtId="0" fontId="1" fillId="0" borderId="0" xfId="0" applyFont="1" applyFill="1" applyAlignment="1"/>
    <xf numFmtId="0" fontId="1" fillId="0" borderId="0" xfId="0" applyFont="1" applyFill="1" applyBorder="1" applyAlignment="1"/>
    <xf numFmtId="0" fontId="6" fillId="0" borderId="0" xfId="0" applyFont="1" applyFill="1"/>
    <xf numFmtId="0" fontId="6" fillId="0" borderId="0" xfId="0" applyFont="1" applyFill="1" applyBorder="1"/>
    <xf numFmtId="0" fontId="4" fillId="2" borderId="1" xfId="0" applyFont="1" applyFill="1" applyBorder="1" applyAlignment="1">
      <alignment horizontal="left"/>
    </xf>
    <xf numFmtId="0" fontId="5" fillId="4" borderId="3" xfId="0" applyFont="1" applyFill="1" applyBorder="1"/>
    <xf numFmtId="0" fontId="1" fillId="4" borderId="1" xfId="0" applyFont="1" applyFill="1" applyBorder="1"/>
    <xf numFmtId="0" fontId="0" fillId="0" borderId="0" xfId="0" applyAlignment="1"/>
    <xf numFmtId="0" fontId="0" fillId="0" borderId="0" xfId="0" applyBorder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/>
    <xf numFmtId="0" fontId="0" fillId="0" borderId="0" xfId="0" applyFill="1" applyBorder="1" applyAlignment="1"/>
    <xf numFmtId="0" fontId="5" fillId="0" borderId="0" xfId="0" applyFont="1" applyFill="1" applyBorder="1" applyAlignment="1">
      <alignment horizontal="left"/>
    </xf>
    <xf numFmtId="0" fontId="3" fillId="0" borderId="12" xfId="0" applyFont="1" applyFill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49" fontId="0" fillId="0" borderId="0" xfId="0" applyNumberFormat="1" applyAlignment="1">
      <alignment horizontal="right"/>
    </xf>
    <xf numFmtId="2" fontId="1" fillId="0" borderId="0" xfId="0" applyNumberFormat="1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3" fillId="5" borderId="5" xfId="0" applyNumberFormat="1" applyFont="1" applyFill="1" applyBorder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164" fontId="1" fillId="5" borderId="5" xfId="0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" fontId="1" fillId="5" borderId="5" xfId="0" applyNumberFormat="1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734234938189982"/>
          <c:y val="3.23461454110689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76655130190715"/>
          <c:y val="0.16981660092707224"/>
          <c:w val="0.73742794361850239"/>
          <c:h val="0.708916921330476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Default_probs!$K$4</c:f>
              <c:strCache>
                <c:ptCount val="1"/>
                <c:pt idx="0">
                  <c:v>Hazard rate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Default_probs!$K$5:$K$9</c:f>
              <c:numCache>
                <c:formatCode>0.0000</c:formatCode>
                <c:ptCount val="5"/>
                <c:pt idx="0">
                  <c:v>9.3901813237948061E-3</c:v>
                </c:pt>
                <c:pt idx="1">
                  <c:v>2.2868146923333544E-2</c:v>
                </c:pt>
                <c:pt idx="2">
                  <c:v>3.5968860590307523E-2</c:v>
                </c:pt>
                <c:pt idx="3">
                  <c:v>5.7460150640307413E-2</c:v>
                </c:pt>
                <c:pt idx="4">
                  <c:v>7.4001961213994896E-2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594176"/>
        <c:axId val="24237696"/>
      </c:barChart>
      <c:catAx>
        <c:axId val="17259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4237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237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725941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5498892027809503"/>
          <c:y val="0.49597215442409326"/>
          <c:w val="0.9878175151770151"/>
          <c:h val="0.5552733266832212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15</xdr:row>
      <xdr:rowOff>123825</xdr:rowOff>
    </xdr:from>
    <xdr:to>
      <xdr:col>13</xdr:col>
      <xdr:colOff>152400</xdr:colOff>
      <xdr:row>37</xdr:row>
      <xdr:rowOff>95250</xdr:rowOff>
    </xdr:to>
    <xdr:graphicFrame macro="">
      <xdr:nvGraphicFramePr>
        <xdr:cNvPr id="1037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85725</xdr:colOff>
      <xdr:row>12</xdr:row>
      <xdr:rowOff>76200</xdr:rowOff>
    </xdr:from>
    <xdr:to>
      <xdr:col>19</xdr:col>
      <xdr:colOff>390525</xdr:colOff>
      <xdr:row>25</xdr:row>
      <xdr:rowOff>9525</xdr:rowOff>
    </xdr:to>
    <xdr:pic>
      <xdr:nvPicPr>
        <xdr:cNvPr id="10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77400" y="2457450"/>
          <a:ext cx="3476625" cy="2038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104775</xdr:colOff>
      <xdr:row>11</xdr:row>
      <xdr:rowOff>66675</xdr:rowOff>
    </xdr:from>
    <xdr:to>
      <xdr:col>15</xdr:col>
      <xdr:colOff>238125</xdr:colOff>
      <xdr:row>16</xdr:row>
      <xdr:rowOff>76200</xdr:rowOff>
    </xdr:to>
    <xdr:pic>
      <xdr:nvPicPr>
        <xdr:cNvPr id="205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5050" y="2343150"/>
          <a:ext cx="379095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142875</xdr:rowOff>
    </xdr:from>
    <xdr:to>
      <xdr:col>19</xdr:col>
      <xdr:colOff>85725</xdr:colOff>
      <xdr:row>14</xdr:row>
      <xdr:rowOff>123825</xdr:rowOff>
    </xdr:to>
    <xdr:pic>
      <xdr:nvPicPr>
        <xdr:cNvPr id="30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14325"/>
          <a:ext cx="5743575" cy="2409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381000</xdr:colOff>
      <xdr:row>16</xdr:row>
      <xdr:rowOff>142875</xdr:rowOff>
    </xdr:from>
    <xdr:to>
      <xdr:col>15</xdr:col>
      <xdr:colOff>457200</xdr:colOff>
      <xdr:row>22</xdr:row>
      <xdr:rowOff>133350</xdr:rowOff>
    </xdr:to>
    <xdr:pic>
      <xdr:nvPicPr>
        <xdr:cNvPr id="308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9525" y="3067050"/>
          <a:ext cx="2543175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B1:I26"/>
  <sheetViews>
    <sheetView zoomScale="75" workbookViewId="0">
      <selection activeCell="E42" sqref="E42"/>
    </sheetView>
  </sheetViews>
  <sheetFormatPr defaultRowHeight="12.75" x14ac:dyDescent="0.2"/>
  <cols>
    <col min="1" max="1" width="4" customWidth="1"/>
    <col min="2" max="2" width="10.42578125" customWidth="1"/>
    <col min="3" max="3" width="10.140625" customWidth="1"/>
    <col min="4" max="4" width="10.140625" bestFit="1" customWidth="1"/>
    <col min="5" max="5" width="9.7109375" customWidth="1"/>
    <col min="6" max="6" width="10.42578125" customWidth="1"/>
    <col min="8" max="8" width="14.28515625" customWidth="1"/>
  </cols>
  <sheetData>
    <row r="1" spans="2:9" ht="13.5" thickBot="1" x14ac:dyDescent="0.25"/>
    <row r="2" spans="2:9" ht="13.5" thickBot="1" x14ac:dyDescent="0.25">
      <c r="B2" s="51" t="s">
        <v>2</v>
      </c>
      <c r="C2" s="66"/>
      <c r="D2" s="66"/>
      <c r="E2" s="66"/>
      <c r="F2" s="66"/>
      <c r="G2" s="67"/>
    </row>
    <row r="3" spans="2:9" ht="13.5" thickBot="1" x14ac:dyDescent="0.25"/>
    <row r="4" spans="2:9" ht="13.5" thickBot="1" x14ac:dyDescent="0.25">
      <c r="B4" s="3" t="s">
        <v>4</v>
      </c>
      <c r="C4" s="4" t="s">
        <v>12</v>
      </c>
      <c r="D4" s="5"/>
      <c r="E4" s="2"/>
    </row>
    <row r="5" spans="2:9" ht="13.5" thickBot="1" x14ac:dyDescent="0.25"/>
    <row r="6" spans="2:9" ht="13.5" thickBot="1" x14ac:dyDescent="0.25">
      <c r="B6" s="16" t="s">
        <v>0</v>
      </c>
      <c r="C6" s="5"/>
      <c r="D6" s="6">
        <v>37900</v>
      </c>
      <c r="F6" s="2"/>
      <c r="G6" s="2"/>
      <c r="H6" s="2"/>
      <c r="I6" s="2"/>
    </row>
    <row r="7" spans="2:9" ht="13.5" thickBot="1" x14ac:dyDescent="0.25">
      <c r="F7" s="2"/>
      <c r="G7" s="2"/>
      <c r="H7" s="2"/>
      <c r="I7" s="2"/>
    </row>
    <row r="8" spans="2:9" ht="13.5" thickBot="1" x14ac:dyDescent="0.25">
      <c r="B8" s="25" t="s">
        <v>1</v>
      </c>
      <c r="C8" s="25" t="s">
        <v>16</v>
      </c>
      <c r="D8" s="25" t="s">
        <v>19</v>
      </c>
      <c r="E8" s="25" t="s">
        <v>18</v>
      </c>
      <c r="F8" s="2"/>
      <c r="G8" s="79"/>
      <c r="H8" s="80"/>
      <c r="I8" s="2"/>
    </row>
    <row r="9" spans="2:9" s="77" customFormat="1" x14ac:dyDescent="0.2">
      <c r="B9" s="7">
        <v>1</v>
      </c>
      <c r="C9" s="23">
        <v>2.0709</v>
      </c>
      <c r="D9" s="23">
        <v>2.4348000000000001</v>
      </c>
      <c r="E9" s="23">
        <v>2.5501999999999998</v>
      </c>
      <c r="F9" s="81"/>
      <c r="G9" s="82"/>
      <c r="H9" s="80"/>
      <c r="I9" s="81"/>
    </row>
    <row r="10" spans="2:9" s="77" customFormat="1" x14ac:dyDescent="0.2">
      <c r="B10" s="8">
        <v>2</v>
      </c>
      <c r="C10" s="9">
        <v>2.234</v>
      </c>
      <c r="D10" s="9">
        <v>2.5648</v>
      </c>
      <c r="E10" s="9">
        <v>2.8157000000000001</v>
      </c>
      <c r="F10" s="81"/>
      <c r="G10" s="82"/>
      <c r="H10" s="80"/>
      <c r="I10" s="81"/>
    </row>
    <row r="11" spans="2:9" s="77" customFormat="1" x14ac:dyDescent="0.2">
      <c r="B11" s="8">
        <v>3</v>
      </c>
      <c r="C11" s="9">
        <v>2.4832999999999998</v>
      </c>
      <c r="D11" s="9">
        <v>2.8597999999999999</v>
      </c>
      <c r="E11" s="9">
        <v>3.0912999999999999</v>
      </c>
      <c r="F11" s="81"/>
      <c r="G11" s="81"/>
      <c r="H11" s="81"/>
      <c r="I11" s="81"/>
    </row>
    <row r="12" spans="2:9" s="77" customFormat="1" x14ac:dyDescent="0.2">
      <c r="B12" s="8">
        <v>4</v>
      </c>
      <c r="C12" s="9">
        <v>2.7279</v>
      </c>
      <c r="D12" s="9">
        <v>3.1091000000000002</v>
      </c>
      <c r="E12" s="9">
        <v>3.4525000000000001</v>
      </c>
      <c r="F12" s="81"/>
      <c r="G12" s="81"/>
      <c r="H12" s="81"/>
      <c r="I12" s="81"/>
    </row>
    <row r="13" spans="2:9" s="77" customFormat="1" ht="13.5" thickBot="1" x14ac:dyDescent="0.25">
      <c r="B13" s="10">
        <v>5</v>
      </c>
      <c r="C13" s="24">
        <v>2.9815</v>
      </c>
      <c r="D13" s="24">
        <v>3.4058000000000002</v>
      </c>
      <c r="E13" s="24">
        <v>3.7250000000000001</v>
      </c>
    </row>
    <row r="15" spans="2:9" x14ac:dyDescent="0.2">
      <c r="B15" s="11" t="s">
        <v>13</v>
      </c>
    </row>
    <row r="16" spans="2:9" x14ac:dyDescent="0.2">
      <c r="B16" s="11" t="s">
        <v>37</v>
      </c>
    </row>
    <row r="17" spans="2:9" x14ac:dyDescent="0.2">
      <c r="B17" s="11" t="s">
        <v>14</v>
      </c>
    </row>
    <row r="18" spans="2:9" x14ac:dyDescent="0.2">
      <c r="B18" s="11" t="s">
        <v>17</v>
      </c>
    </row>
    <row r="20" spans="2:9" ht="13.5" thickBot="1" x14ac:dyDescent="0.25"/>
    <row r="21" spans="2:9" ht="13.5" thickBot="1" x14ac:dyDescent="0.25">
      <c r="B21" s="68" t="s">
        <v>6</v>
      </c>
      <c r="G21" s="45" t="s">
        <v>10</v>
      </c>
      <c r="H21" s="1"/>
    </row>
    <row r="22" spans="2:9" ht="13.5" thickBot="1" x14ac:dyDescent="0.25"/>
    <row r="23" spans="2:9" ht="13.5" thickBot="1" x14ac:dyDescent="0.25">
      <c r="B23" s="3" t="s">
        <v>4</v>
      </c>
      <c r="C23" s="4" t="s">
        <v>5</v>
      </c>
      <c r="D23" s="5"/>
      <c r="G23" s="3" t="s">
        <v>4</v>
      </c>
      <c r="H23" s="5" t="s">
        <v>39</v>
      </c>
    </row>
    <row r="24" spans="2:9" ht="13.5" thickBot="1" x14ac:dyDescent="0.25"/>
    <row r="25" spans="2:9" x14ac:dyDescent="0.2">
      <c r="B25" s="14" t="s">
        <v>7</v>
      </c>
      <c r="C25" s="12" t="s">
        <v>8</v>
      </c>
      <c r="F25" s="78" t="str">
        <f>B25</f>
        <v>BAYER</v>
      </c>
      <c r="G25" s="26" t="s">
        <v>11</v>
      </c>
      <c r="H25" s="27"/>
      <c r="I25" s="7">
        <v>0.4884</v>
      </c>
    </row>
    <row r="26" spans="2:9" ht="13.5" thickBot="1" x14ac:dyDescent="0.25">
      <c r="B26" s="15" t="s">
        <v>9</v>
      </c>
      <c r="C26" s="13" t="s">
        <v>3</v>
      </c>
      <c r="F26" s="78" t="str">
        <f>B26</f>
        <v>TELECOM</v>
      </c>
      <c r="G26" s="28" t="s">
        <v>11</v>
      </c>
      <c r="H26" s="29"/>
      <c r="I26" s="10">
        <v>0.4884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D7"/>
  <sheetViews>
    <sheetView zoomScale="75" workbookViewId="0">
      <selection activeCell="E36" sqref="E36"/>
    </sheetView>
  </sheetViews>
  <sheetFormatPr defaultRowHeight="12.75" x14ac:dyDescent="0.2"/>
  <cols>
    <col min="1" max="1" width="4.7109375" customWidth="1"/>
  </cols>
  <sheetData>
    <row r="1" spans="2:4" ht="13.5" thickBot="1" x14ac:dyDescent="0.25"/>
    <row r="2" spans="2:4" ht="13.5" thickBot="1" x14ac:dyDescent="0.25">
      <c r="B2" s="51" t="s">
        <v>34</v>
      </c>
      <c r="C2" s="74"/>
      <c r="D2" s="65"/>
    </row>
    <row r="4" spans="2:4" x14ac:dyDescent="0.2">
      <c r="B4" t="s">
        <v>38</v>
      </c>
    </row>
    <row r="6" spans="2:4" x14ac:dyDescent="0.2">
      <c r="B6" s="85" t="s">
        <v>45</v>
      </c>
      <c r="C6" t="s">
        <v>44</v>
      </c>
    </row>
    <row r="7" spans="2:4" x14ac:dyDescent="0.2">
      <c r="B7" s="85" t="s">
        <v>46</v>
      </c>
      <c r="C7" t="s">
        <v>35</v>
      </c>
    </row>
  </sheetData>
  <phoneticPr fontId="0" type="noConversion"/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pageSetUpPr fitToPage="1"/>
  </sheetPr>
  <dimension ref="B1:R19"/>
  <sheetViews>
    <sheetView zoomScale="75" workbookViewId="0">
      <selection activeCell="U8" sqref="U8"/>
    </sheetView>
  </sheetViews>
  <sheetFormatPr defaultRowHeight="12.75" x14ac:dyDescent="0.2"/>
  <cols>
    <col min="1" max="1" width="5.140625" style="18" customWidth="1"/>
    <col min="2" max="2" width="11.140625" style="18" bestFit="1" customWidth="1"/>
    <col min="3" max="3" width="12.28515625" style="18" bestFit="1" customWidth="1"/>
    <col min="4" max="4" width="11" style="18" customWidth="1"/>
    <col min="5" max="5" width="12.42578125" style="18" bestFit="1" customWidth="1"/>
    <col min="6" max="6" width="9.140625" style="18"/>
    <col min="7" max="7" width="10.7109375" style="18" customWidth="1"/>
    <col min="8" max="8" width="10.140625" style="18" customWidth="1"/>
    <col min="9" max="9" width="9.140625" style="18"/>
    <col min="10" max="11" width="10.85546875" style="18" customWidth="1"/>
    <col min="12" max="12" width="9.5703125" style="18" bestFit="1" customWidth="1"/>
    <col min="13" max="14" width="10.7109375" style="18" customWidth="1"/>
    <col min="15" max="15" width="10.140625" style="18" customWidth="1"/>
    <col min="16" max="16" width="9.5703125" style="18" bestFit="1" customWidth="1"/>
    <col min="17" max="17" width="9.5703125" style="18" customWidth="1"/>
    <col min="18" max="16384" width="9.140625" style="18"/>
  </cols>
  <sheetData>
    <row r="1" spans="2:18" ht="13.5" thickBot="1" x14ac:dyDescent="0.25"/>
    <row r="2" spans="2:18" ht="13.5" thickBot="1" x14ac:dyDescent="0.25">
      <c r="B2" s="45" t="s">
        <v>21</v>
      </c>
      <c r="C2" s="39"/>
      <c r="D2" s="40"/>
      <c r="F2" s="45" t="s">
        <v>42</v>
      </c>
      <c r="G2" s="39"/>
      <c r="H2" s="39"/>
      <c r="I2" s="39"/>
      <c r="J2" s="39"/>
      <c r="K2" s="40"/>
      <c r="M2" s="45" t="s">
        <v>43</v>
      </c>
      <c r="N2" s="39"/>
      <c r="O2" s="39"/>
      <c r="P2" s="39"/>
      <c r="Q2" s="39"/>
      <c r="R2" s="40"/>
    </row>
    <row r="3" spans="2:18" ht="13.5" thickBot="1" x14ac:dyDescent="0.25"/>
    <row r="4" spans="2:18" s="54" customFormat="1" ht="41.25" customHeight="1" thickBot="1" x14ac:dyDescent="0.25">
      <c r="B4" s="52" t="s">
        <v>1</v>
      </c>
      <c r="C4" s="52" t="s">
        <v>16</v>
      </c>
      <c r="D4" s="52" t="s">
        <v>15</v>
      </c>
      <c r="E4" s="53"/>
      <c r="F4" s="52" t="str">
        <f>Data!B8</f>
        <v>Maturity</v>
      </c>
      <c r="G4" s="52" t="s">
        <v>16</v>
      </c>
      <c r="H4" s="52" t="s">
        <v>40</v>
      </c>
      <c r="I4" s="52" t="s">
        <v>20</v>
      </c>
      <c r="J4" s="60" t="s">
        <v>22</v>
      </c>
      <c r="K4" s="52" t="s">
        <v>23</v>
      </c>
      <c r="M4" s="52" t="str">
        <f>Data!B8</f>
        <v>Maturity</v>
      </c>
      <c r="N4" s="52" t="s">
        <v>16</v>
      </c>
      <c r="O4" s="52" t="s">
        <v>41</v>
      </c>
      <c r="P4" s="52" t="s">
        <v>20</v>
      </c>
      <c r="Q4" s="52" t="s">
        <v>22</v>
      </c>
      <c r="R4" s="52" t="s">
        <v>23</v>
      </c>
    </row>
    <row r="5" spans="2:18" ht="13.5" thickBot="1" x14ac:dyDescent="0.25">
      <c r="B5" s="90">
        <f>Data!B9</f>
        <v>1</v>
      </c>
      <c r="C5" s="87">
        <f>Data!C9</f>
        <v>2.0709</v>
      </c>
      <c r="D5" s="94">
        <f>EXP(-C5/100*B5)</f>
        <v>0.97950395875279184</v>
      </c>
      <c r="E5" s="20"/>
      <c r="F5" s="90">
        <f>Data!B9</f>
        <v>1</v>
      </c>
      <c r="G5" s="90">
        <f>Data!C9</f>
        <v>2.0709</v>
      </c>
      <c r="H5" s="87">
        <f>Data!E9</f>
        <v>2.5501999999999998</v>
      </c>
      <c r="I5" s="93">
        <f>Data!I25</f>
        <v>0.4884</v>
      </c>
      <c r="J5" s="94">
        <f>(1-EXP(-(H5-G5)/100*F5))/(1-$I$5)</f>
        <v>9.3462312451308861E-3</v>
      </c>
      <c r="K5" s="95">
        <f>-LN(1-J5)</f>
        <v>9.3901813237948061E-3</v>
      </c>
      <c r="L5" s="21"/>
      <c r="M5" s="90">
        <f>Data!B9</f>
        <v>1</v>
      </c>
      <c r="N5" s="87">
        <f>Data!C9</f>
        <v>2.0709</v>
      </c>
      <c r="O5" s="87">
        <f>Data!D9</f>
        <v>2.4348000000000001</v>
      </c>
      <c r="P5" s="87">
        <f>Data!I26</f>
        <v>0.4884</v>
      </c>
      <c r="Q5" s="94">
        <f>(1-EXP(-(O5-N5)/100*M5))/(1-$P$5)</f>
        <v>7.1000525091211948E-3</v>
      </c>
      <c r="R5" s="94">
        <f>-LN(1-Q5)</f>
        <v>7.1253778271918597E-3</v>
      </c>
    </row>
    <row r="6" spans="2:18" ht="13.5" thickBot="1" x14ac:dyDescent="0.25">
      <c r="B6" s="91">
        <f>Data!B10</f>
        <v>2</v>
      </c>
      <c r="C6" s="88">
        <f>Data!C10</f>
        <v>2.234</v>
      </c>
      <c r="D6" s="94">
        <f>EXP(-C6/100*B6)</f>
        <v>0.95630344997957906</v>
      </c>
      <c r="E6" s="20"/>
      <c r="F6" s="91">
        <f>Data!B10</f>
        <v>2</v>
      </c>
      <c r="G6" s="91">
        <f>Data!C10</f>
        <v>2.234</v>
      </c>
      <c r="H6" s="88">
        <f>Data!E10</f>
        <v>2.8157000000000001</v>
      </c>
      <c r="I6" s="83"/>
      <c r="J6" s="94">
        <f>(1-EXP(-(H6-G6)/100*F6))/(1-$I$5)</f>
        <v>2.2608652666184947E-2</v>
      </c>
      <c r="K6" s="95">
        <f>-LN(1-J6)</f>
        <v>2.2868146923333544E-2</v>
      </c>
      <c r="L6" s="21"/>
      <c r="M6" s="91">
        <f>Data!B10</f>
        <v>2</v>
      </c>
      <c r="N6" s="88">
        <f>Data!C10</f>
        <v>2.234</v>
      </c>
      <c r="O6" s="88">
        <f>Data!D10</f>
        <v>2.5648</v>
      </c>
      <c r="P6" s="31"/>
      <c r="Q6" s="94">
        <f>(1-EXP(-(O6-N6)/100*M6))/(1-$P$5)</f>
        <v>1.2889293310399019E-2</v>
      </c>
      <c r="R6" s="94">
        <f>-LN(1-Q6)</f>
        <v>1.2973081006237461E-2</v>
      </c>
    </row>
    <row r="7" spans="2:18" ht="13.5" thickBot="1" x14ac:dyDescent="0.25">
      <c r="B7" s="91">
        <f>Data!B11</f>
        <v>3</v>
      </c>
      <c r="C7" s="88">
        <f>Data!C11</f>
        <v>2.4832999999999998</v>
      </c>
      <c r="D7" s="94">
        <f>EXP(-C7/100*B7)</f>
        <v>0.92820840226692158</v>
      </c>
      <c r="E7" s="20"/>
      <c r="F7" s="91">
        <f>Data!B11</f>
        <v>3</v>
      </c>
      <c r="G7" s="91">
        <f>Data!C11</f>
        <v>2.4832999999999998</v>
      </c>
      <c r="H7" s="88">
        <f>Data!E11</f>
        <v>3.0912999999999999</v>
      </c>
      <c r="I7" s="83"/>
      <c r="J7" s="94">
        <f>(1-EXP(-(H7-G7)/100*F7))/(1-$I$5)</f>
        <v>3.5329667719879498E-2</v>
      </c>
      <c r="K7" s="95">
        <f>-LN(1-J7)</f>
        <v>3.5968860590307523E-2</v>
      </c>
      <c r="L7" s="21"/>
      <c r="M7" s="91">
        <f>Data!B11</f>
        <v>3</v>
      </c>
      <c r="N7" s="88">
        <f>Data!C11</f>
        <v>2.4832999999999998</v>
      </c>
      <c r="O7" s="88">
        <f>Data!D11</f>
        <v>2.8597999999999999</v>
      </c>
      <c r="P7" s="31"/>
      <c r="Q7" s="94">
        <f>(1-EXP(-(O7-N7)/100*M7))/(1-$P$5)</f>
        <v>2.1953578918327419E-2</v>
      </c>
      <c r="R7" s="94">
        <f>-LN(1-Q7)</f>
        <v>2.2198144755078659E-2</v>
      </c>
    </row>
    <row r="8" spans="2:18" ht="13.5" thickBot="1" x14ac:dyDescent="0.25">
      <c r="B8" s="91">
        <f>Data!B12</f>
        <v>4</v>
      </c>
      <c r="C8" s="88">
        <f>Data!C12</f>
        <v>2.7279</v>
      </c>
      <c r="D8" s="94">
        <f>EXP(-C8/100*B8)</f>
        <v>0.89662640280277461</v>
      </c>
      <c r="F8" s="91">
        <f>Data!B12</f>
        <v>4</v>
      </c>
      <c r="G8" s="91">
        <f>Data!C12</f>
        <v>2.7279</v>
      </c>
      <c r="H8" s="88">
        <f>Data!E12</f>
        <v>3.4525000000000001</v>
      </c>
      <c r="I8" s="83"/>
      <c r="J8" s="94">
        <f>(1-EXP(-(H8-G8)/100*F8))/(1-$I$5)</f>
        <v>5.5840486211144867E-2</v>
      </c>
      <c r="K8" s="95">
        <f>-LN(1-J8)</f>
        <v>5.7460150640307413E-2</v>
      </c>
      <c r="L8" s="21"/>
      <c r="M8" s="91">
        <f>Data!B12</f>
        <v>4</v>
      </c>
      <c r="N8" s="88">
        <f>Data!C12</f>
        <v>2.7279</v>
      </c>
      <c r="O8" s="88">
        <f>Data!D12</f>
        <v>3.1091000000000002</v>
      </c>
      <c r="P8" s="31"/>
      <c r="Q8" s="94">
        <f>(1-EXP(-(O8-N8)/100*M8))/(1-$P$5)</f>
        <v>2.9578455563527652E-2</v>
      </c>
      <c r="R8" s="94">
        <f>-LN(1-Q8)</f>
        <v>3.0024719994799415E-2</v>
      </c>
    </row>
    <row r="9" spans="2:18" ht="13.5" thickBot="1" x14ac:dyDescent="0.25">
      <c r="B9" s="92">
        <f>Data!B13</f>
        <v>5</v>
      </c>
      <c r="C9" s="89">
        <f>Data!C13</f>
        <v>2.9815</v>
      </c>
      <c r="D9" s="94">
        <f>EXP(-C9/100*B9)</f>
        <v>0.86150449963844344</v>
      </c>
      <c r="F9" s="92">
        <f>Data!B13</f>
        <v>5</v>
      </c>
      <c r="G9" s="92">
        <f>Data!C13</f>
        <v>2.9815</v>
      </c>
      <c r="H9" s="89">
        <f>Data!E13</f>
        <v>3.7250000000000001</v>
      </c>
      <c r="I9" s="84"/>
      <c r="J9" s="94">
        <f>(1-EXP(-(H9-G9)/100*F9))/(1-$I$5)</f>
        <v>7.1330127480849409E-2</v>
      </c>
      <c r="K9" s="95">
        <f>-LN(1-J9)</f>
        <v>7.4001961213994896E-2</v>
      </c>
      <c r="L9" s="21"/>
      <c r="M9" s="92">
        <f>Data!B13</f>
        <v>5</v>
      </c>
      <c r="N9" s="89">
        <f>Data!C13</f>
        <v>2.9815</v>
      </c>
      <c r="O9" s="89">
        <f>Data!D13</f>
        <v>3.4058000000000002</v>
      </c>
      <c r="P9" s="32"/>
      <c r="Q9" s="94">
        <f>(1-EXP(-(O9-N9)/100*M9))/(1-$P$5)</f>
        <v>4.1031166687541913E-2</v>
      </c>
      <c r="R9" s="94">
        <f>-LN(1-Q9)</f>
        <v>4.1896703779614748E-2</v>
      </c>
    </row>
    <row r="10" spans="2:18" x14ac:dyDescent="0.2">
      <c r="B10" s="19"/>
      <c r="H10"/>
    </row>
    <row r="11" spans="2:18" x14ac:dyDescent="0.2">
      <c r="H11"/>
    </row>
    <row r="12" spans="2:18" x14ac:dyDescent="0.2">
      <c r="H12"/>
    </row>
    <row r="13" spans="2:18" x14ac:dyDescent="0.2">
      <c r="H13"/>
    </row>
    <row r="14" spans="2:18" x14ac:dyDescent="0.2">
      <c r="H14"/>
      <c r="P14" s="61"/>
      <c r="Q14" s="62"/>
      <c r="R14" s="61"/>
    </row>
    <row r="15" spans="2:18" x14ac:dyDescent="0.2">
      <c r="H15"/>
      <c r="P15" s="61"/>
      <c r="Q15" s="62"/>
      <c r="R15" s="61"/>
    </row>
    <row r="16" spans="2:18" x14ac:dyDescent="0.2">
      <c r="H16"/>
      <c r="P16" s="61"/>
      <c r="Q16" s="62"/>
      <c r="R16" s="61"/>
    </row>
    <row r="17" spans="8:18" x14ac:dyDescent="0.2">
      <c r="H17"/>
      <c r="P17" s="61"/>
      <c r="Q17" s="62"/>
      <c r="R17" s="61"/>
    </row>
    <row r="18" spans="8:18" x14ac:dyDescent="0.2">
      <c r="P18" s="61"/>
      <c r="Q18" s="62"/>
      <c r="R18" s="61"/>
    </row>
    <row r="19" spans="8:18" x14ac:dyDescent="0.2">
      <c r="P19" s="61"/>
      <c r="Q19" s="61"/>
      <c r="R19" s="61"/>
    </row>
  </sheetData>
  <phoneticPr fontId="0" type="noConversion"/>
  <pageMargins left="0.75" right="0.75" top="1" bottom="1" header="0.5" footer="0.5"/>
  <pageSetup paperSize="9" scale="71" orientation="landscape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B1:G29"/>
  <sheetViews>
    <sheetView zoomScale="75" workbookViewId="0">
      <selection activeCell="F9" sqref="F9:F13"/>
    </sheetView>
  </sheetViews>
  <sheetFormatPr defaultRowHeight="12.75" x14ac:dyDescent="0.2"/>
  <cols>
    <col min="1" max="1" width="4.42578125" style="41" customWidth="1"/>
    <col min="2" max="2" width="11.140625" style="41" bestFit="1" customWidth="1"/>
    <col min="3" max="3" width="12.28515625" style="41" bestFit="1" customWidth="1"/>
    <col min="4" max="4" width="14.7109375" style="41" customWidth="1"/>
    <col min="5" max="5" width="9.5703125" style="41" customWidth="1"/>
    <col min="6" max="6" width="10.140625" style="41" customWidth="1"/>
    <col min="7" max="7" width="9.5703125" style="41" customWidth="1"/>
    <col min="8" max="16384" width="9.140625" style="41"/>
  </cols>
  <sheetData>
    <row r="1" spans="2:7" ht="13.5" thickBot="1" x14ac:dyDescent="0.25">
      <c r="F1" s="44"/>
      <c r="G1" s="44"/>
    </row>
    <row r="2" spans="2:7" ht="13.5" thickBot="1" x14ac:dyDescent="0.25">
      <c r="B2" s="45" t="s">
        <v>24</v>
      </c>
      <c r="C2" s="42"/>
      <c r="D2" s="43"/>
      <c r="E2" s="43"/>
      <c r="F2" s="44"/>
    </row>
    <row r="3" spans="2:7" ht="13.5" thickBot="1" x14ac:dyDescent="0.25">
      <c r="F3" s="44"/>
    </row>
    <row r="4" spans="2:7" ht="13.5" thickBot="1" x14ac:dyDescent="0.25">
      <c r="B4" s="63" t="s">
        <v>32</v>
      </c>
      <c r="C4" s="64"/>
      <c r="F4" s="44"/>
    </row>
    <row r="5" spans="2:7" ht="13.5" thickBot="1" x14ac:dyDescent="0.25">
      <c r="F5" s="44"/>
    </row>
    <row r="6" spans="2:7" ht="13.5" thickBot="1" x14ac:dyDescent="0.25">
      <c r="B6" s="47" t="s">
        <v>25</v>
      </c>
      <c r="C6" s="46">
        <v>100</v>
      </c>
      <c r="F6" s="44"/>
    </row>
    <row r="7" spans="2:7" ht="13.5" thickBot="1" x14ac:dyDescent="0.25">
      <c r="F7" s="44"/>
    </row>
    <row r="8" spans="2:7" s="55" customFormat="1" ht="44.25" customHeight="1" thickBot="1" x14ac:dyDescent="0.25">
      <c r="B8" s="52" t="s">
        <v>1</v>
      </c>
      <c r="C8" s="52" t="s">
        <v>15</v>
      </c>
      <c r="D8" s="52" t="s">
        <v>20</v>
      </c>
      <c r="E8" s="52" t="s">
        <v>22</v>
      </c>
      <c r="F8" s="52" t="s">
        <v>26</v>
      </c>
    </row>
    <row r="9" spans="2:7" ht="13.5" thickBot="1" x14ac:dyDescent="0.25">
      <c r="B9" s="33">
        <f>Data!B9</f>
        <v>1</v>
      </c>
      <c r="C9" s="34">
        <f>Default_probs!D5</f>
        <v>0.97950395875279184</v>
      </c>
      <c r="D9" s="34">
        <f>Data!I25</f>
        <v>0.4884</v>
      </c>
      <c r="E9" s="34">
        <f>Default_probs!J5</f>
        <v>9.3462312451308861E-3</v>
      </c>
      <c r="F9" s="96">
        <f>C9*$C$6*(1-$D$9)*E9</f>
        <v>0.46835294298590563</v>
      </c>
    </row>
    <row r="10" spans="2:7" ht="13.5" thickBot="1" x14ac:dyDescent="0.25">
      <c r="B10" s="35">
        <f>Data!B10</f>
        <v>2</v>
      </c>
      <c r="C10" s="36">
        <f>Default_probs!D6</f>
        <v>0.95630344997957906</v>
      </c>
      <c r="D10" s="36"/>
      <c r="E10" s="36">
        <f>Default_probs!J6</f>
        <v>2.2608652666184947E-2</v>
      </c>
      <c r="F10" s="96">
        <f>C10*$C$6*(1-$D$9)*E10</f>
        <v>1.1061166769542463</v>
      </c>
    </row>
    <row r="11" spans="2:7" ht="13.5" thickBot="1" x14ac:dyDescent="0.25">
      <c r="B11" s="35">
        <f>Data!B11</f>
        <v>3</v>
      </c>
      <c r="C11" s="36">
        <f>Default_probs!D7</f>
        <v>0.92820840226692158</v>
      </c>
      <c r="D11" s="36"/>
      <c r="E11" s="36">
        <f>Default_probs!J7</f>
        <v>3.5329667719879498E-2</v>
      </c>
      <c r="F11" s="96">
        <f>C11*$C$6*(1-$D$9)*E11</f>
        <v>1.6777049428797226</v>
      </c>
    </row>
    <row r="12" spans="2:7" ht="13.5" thickBot="1" x14ac:dyDescent="0.25">
      <c r="B12" s="35">
        <f>Data!B12</f>
        <v>4</v>
      </c>
      <c r="C12" s="36">
        <f>Default_probs!D8</f>
        <v>0.89662640280277461</v>
      </c>
      <c r="D12" s="36"/>
      <c r="E12" s="36">
        <f>Default_probs!J8</f>
        <v>5.5840486211144867E-2</v>
      </c>
      <c r="F12" s="96">
        <f>C12*$C$6*(1-$D$9)*E12</f>
        <v>2.5614816570802557</v>
      </c>
    </row>
    <row r="13" spans="2:7" ht="13.5" thickBot="1" x14ac:dyDescent="0.25">
      <c r="B13" s="37">
        <f>Data!B13</f>
        <v>5</v>
      </c>
      <c r="C13" s="38">
        <f>Default_probs!D9</f>
        <v>0.86150449963844344</v>
      </c>
      <c r="D13" s="38"/>
      <c r="E13" s="38">
        <f>Default_probs!J9</f>
        <v>7.1330127480849409E-2</v>
      </c>
      <c r="F13" s="96">
        <f>C13*$C$6*(1-$D$9)*E13</f>
        <v>3.1438447111368388</v>
      </c>
    </row>
    <row r="14" spans="2:7" x14ac:dyDescent="0.2">
      <c r="F14" s="44"/>
    </row>
    <row r="15" spans="2:7" x14ac:dyDescent="0.2">
      <c r="F15" s="44"/>
    </row>
    <row r="16" spans="2:7" x14ac:dyDescent="0.2">
      <c r="G16" s="44"/>
    </row>
    <row r="18" spans="2:7" s="17" customFormat="1" ht="14.25" customHeight="1" x14ac:dyDescent="0.2"/>
    <row r="19" spans="2:7" x14ac:dyDescent="0.2">
      <c r="G19" s="30"/>
    </row>
    <row r="20" spans="2:7" x14ac:dyDescent="0.2">
      <c r="G20" s="30"/>
    </row>
    <row r="21" spans="2:7" x14ac:dyDescent="0.2">
      <c r="G21" s="30"/>
    </row>
    <row r="22" spans="2:7" x14ac:dyDescent="0.2">
      <c r="G22" s="30"/>
    </row>
    <row r="23" spans="2:7" x14ac:dyDescent="0.2">
      <c r="G23" s="30"/>
    </row>
    <row r="26" spans="2:7" x14ac:dyDescent="0.2">
      <c r="B26" s="22"/>
    </row>
    <row r="29" spans="2:7" x14ac:dyDescent="0.2">
      <c r="B29" s="17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Q33"/>
  <sheetViews>
    <sheetView tabSelected="1" zoomScale="75" workbookViewId="0">
      <selection activeCell="H19" sqref="H19"/>
    </sheetView>
  </sheetViews>
  <sheetFormatPr defaultRowHeight="12.75" x14ac:dyDescent="0.2"/>
  <cols>
    <col min="1" max="1" width="4.42578125" style="41" customWidth="1"/>
    <col min="2" max="2" width="10.85546875" style="41" customWidth="1"/>
    <col min="3" max="3" width="12.28515625" style="41" bestFit="1" customWidth="1"/>
    <col min="4" max="4" width="10.140625" style="41" customWidth="1"/>
    <col min="5" max="5" width="9.5703125" style="41" customWidth="1"/>
    <col min="6" max="6" width="10.140625" style="41" customWidth="1"/>
    <col min="7" max="7" width="10.85546875" style="41" customWidth="1"/>
    <col min="8" max="8" width="11.5703125" style="41" customWidth="1"/>
    <col min="9" max="9" width="10.140625" style="41" customWidth="1"/>
    <col min="10" max="10" width="9.5703125" style="41" bestFit="1" customWidth="1"/>
    <col min="11" max="11" width="9.140625" style="44"/>
    <col min="12" max="12" width="12" style="44" customWidth="1"/>
    <col min="13" max="14" width="9.140625" style="44"/>
    <col min="15" max="15" width="6.7109375" style="44" customWidth="1"/>
    <col min="16" max="17" width="9.140625" style="44"/>
    <col min="18" max="16384" width="9.140625" style="41"/>
  </cols>
  <sheetData>
    <row r="1" spans="1:17" ht="13.5" thickBot="1" x14ac:dyDescent="0.25">
      <c r="F1" s="44"/>
      <c r="G1" s="44"/>
      <c r="H1" s="44"/>
      <c r="I1" s="44"/>
      <c r="J1" s="44"/>
    </row>
    <row r="2" spans="1:17" ht="13.5" thickBot="1" x14ac:dyDescent="0.25">
      <c r="B2" s="45" t="s">
        <v>47</v>
      </c>
      <c r="C2" s="42"/>
      <c r="D2" s="42"/>
      <c r="E2" s="42"/>
      <c r="F2" s="43"/>
      <c r="G2" s="44"/>
      <c r="H2" s="44"/>
      <c r="I2" s="44"/>
      <c r="M2" s="41"/>
      <c r="N2" s="41"/>
      <c r="O2" s="41"/>
    </row>
    <row r="3" spans="1:17" ht="12" customHeight="1" thickBot="1" x14ac:dyDescent="0.25">
      <c r="F3" s="44"/>
      <c r="G3" s="44"/>
      <c r="H3" s="44"/>
      <c r="I3" s="44"/>
      <c r="L3" s="41"/>
      <c r="M3" s="41"/>
      <c r="N3" s="41"/>
      <c r="O3" s="41"/>
    </row>
    <row r="4" spans="1:17" ht="13.5" thickBot="1" x14ac:dyDescent="0.25">
      <c r="B4" s="63" t="s">
        <v>48</v>
      </c>
      <c r="C4" s="64"/>
      <c r="D4" s="73"/>
      <c r="N4" s="41"/>
      <c r="O4" s="41"/>
    </row>
    <row r="5" spans="1:17" s="72" customFormat="1" ht="13.5" thickBot="1" x14ac:dyDescent="0.25">
      <c r="B5" s="73"/>
      <c r="C5" s="73"/>
      <c r="P5" s="73"/>
      <c r="Q5" s="73"/>
    </row>
    <row r="6" spans="1:17" ht="13.5" thickBot="1" x14ac:dyDescent="0.25">
      <c r="B6" s="47" t="s">
        <v>25</v>
      </c>
      <c r="C6" s="46">
        <v>100</v>
      </c>
      <c r="F6" s="44"/>
      <c r="G6" s="44"/>
      <c r="H6" s="44"/>
      <c r="I6" s="44"/>
      <c r="L6" s="41"/>
      <c r="M6" s="41"/>
      <c r="N6" s="41"/>
      <c r="O6" s="41"/>
    </row>
    <row r="7" spans="1:17" ht="13.5" thickBot="1" x14ac:dyDescent="0.25">
      <c r="F7" s="44"/>
      <c r="G7" s="44"/>
      <c r="H7" s="44"/>
      <c r="I7" s="44"/>
      <c r="L7" s="41"/>
      <c r="M7" s="41"/>
      <c r="N7" s="41"/>
      <c r="O7" s="41"/>
    </row>
    <row r="8" spans="1:17" s="55" customFormat="1" ht="31.5" customHeight="1" thickBot="1" x14ac:dyDescent="0.25">
      <c r="B8" s="52" t="s">
        <v>1</v>
      </c>
      <c r="C8" s="52" t="s">
        <v>15</v>
      </c>
      <c r="D8" s="52" t="s">
        <v>20</v>
      </c>
      <c r="E8" s="52" t="s">
        <v>22</v>
      </c>
      <c r="F8" s="52" t="s">
        <v>27</v>
      </c>
      <c r="G8" s="52" t="s">
        <v>31</v>
      </c>
      <c r="H8" s="52" t="s">
        <v>28</v>
      </c>
      <c r="I8" s="52" t="s">
        <v>49</v>
      </c>
      <c r="K8" s="69"/>
      <c r="L8" s="41"/>
      <c r="N8" s="41"/>
      <c r="O8" s="41"/>
      <c r="P8" s="69"/>
      <c r="Q8" s="69"/>
    </row>
    <row r="9" spans="1:17" ht="13.5" thickBot="1" x14ac:dyDescent="0.25">
      <c r="B9" s="33">
        <f>Data!B9</f>
        <v>1</v>
      </c>
      <c r="C9" s="34">
        <f>Default_probs!D5</f>
        <v>0.97950395875279184</v>
      </c>
      <c r="D9" s="34">
        <f>Data!I25</f>
        <v>0.4884</v>
      </c>
      <c r="E9" s="34">
        <f>Default_probs!J5</f>
        <v>9.3462312451308861E-3</v>
      </c>
      <c r="F9" s="96">
        <f>$C$6*C9*(1-$D$9)*E9</f>
        <v>0.46835294298590563</v>
      </c>
      <c r="G9" s="96">
        <f>C9*(1-E9)</f>
        <v>0.97034928824876709</v>
      </c>
      <c r="H9" s="96">
        <f>$C$6*SUM($G$9:G9)*I9/10000</f>
        <v>0.46835294298590568</v>
      </c>
      <c r="I9" s="98">
        <f>(C9*(1-$D$9)*E9)/SUM($B$17:B17)*10000</f>
        <v>48.266428249889607</v>
      </c>
      <c r="L9" s="41"/>
      <c r="M9" s="41"/>
      <c r="N9" s="41"/>
      <c r="O9" s="41"/>
    </row>
    <row r="10" spans="1:17" ht="13.5" thickBot="1" x14ac:dyDescent="0.25">
      <c r="B10" s="35">
        <f>Data!B10</f>
        <v>2</v>
      </c>
      <c r="C10" s="36">
        <f>Default_probs!D6</f>
        <v>0.95630344997957906</v>
      </c>
      <c r="D10" s="36"/>
      <c r="E10" s="36">
        <f>Default_probs!J6</f>
        <v>2.2608652666184947E-2</v>
      </c>
      <c r="F10" s="96">
        <f>$C$6*C10*(1-$D$9)*E10</f>
        <v>1.1061166769542463</v>
      </c>
      <c r="G10" s="96">
        <f t="shared" ref="G10:G13" si="0">C10*(1-E10)</f>
        <v>0.93468271743551634</v>
      </c>
      <c r="H10" s="96">
        <f>$C$6*SUM($G$9:G10)*I10/10000</f>
        <v>1.1061166769542465</v>
      </c>
      <c r="I10" s="98">
        <f>(C10*(1-$D$9)*E10)/SUM($B$17:B18)*10000</f>
        <v>58.062892048731314</v>
      </c>
      <c r="L10" s="41"/>
    </row>
    <row r="11" spans="1:17" ht="13.5" thickBot="1" x14ac:dyDescent="0.25">
      <c r="B11" s="35">
        <f>Data!B11</f>
        <v>3</v>
      </c>
      <c r="C11" s="36">
        <f>Default_probs!D7</f>
        <v>0.92820840226692158</v>
      </c>
      <c r="D11" s="36"/>
      <c r="E11" s="36">
        <f>Default_probs!J7</f>
        <v>3.5329667719879498E-2</v>
      </c>
      <c r="F11" s="96">
        <f>$C$6*C11*(1-$D$9)*E11</f>
        <v>1.6777049428797226</v>
      </c>
      <c r="G11" s="96">
        <f t="shared" si="0"/>
        <v>0.89541510784003098</v>
      </c>
      <c r="H11" s="96">
        <f>$C$6*SUM($G$9:G11)*I11/10000</f>
        <v>1.6777049428797228</v>
      </c>
      <c r="I11" s="98">
        <f>(C11*(1-$D$9)*E11)/SUM($B$17:B19)*10000</f>
        <v>59.908467286438409</v>
      </c>
    </row>
    <row r="12" spans="1:17" ht="13.5" thickBot="1" x14ac:dyDescent="0.25">
      <c r="B12" s="35">
        <f>Data!B12</f>
        <v>4</v>
      </c>
      <c r="C12" s="36">
        <f>Default_probs!D8</f>
        <v>0.89662640280277461</v>
      </c>
      <c r="D12" s="36"/>
      <c r="E12" s="36">
        <f>Default_probs!J8</f>
        <v>5.5840486211144867E-2</v>
      </c>
      <c r="F12" s="96">
        <f>$C$6*C12*(1-$D$9)*E12</f>
        <v>2.5614816570802557</v>
      </c>
      <c r="G12" s="96">
        <f t="shared" si="0"/>
        <v>0.84655834852051781</v>
      </c>
      <c r="H12" s="96">
        <f>$C$6*SUM($G$9:G12)*I12/10000</f>
        <v>2.5614816570802561</v>
      </c>
      <c r="I12" s="98">
        <f>(C12*(1-$D$9)*E12)/SUM($B$17:B20)*10000</f>
        <v>70.23520210589605</v>
      </c>
    </row>
    <row r="13" spans="1:17" ht="13.5" thickBot="1" x14ac:dyDescent="0.25">
      <c r="B13" s="37">
        <f>Data!B13</f>
        <v>5</v>
      </c>
      <c r="C13" s="38">
        <f>Default_probs!D9</f>
        <v>0.86150449963844344</v>
      </c>
      <c r="D13" s="38"/>
      <c r="E13" s="38">
        <f>Default_probs!J9</f>
        <v>7.1330127480849409E-2</v>
      </c>
      <c r="F13" s="96">
        <f>$C$6*C13*(1-$D$9)*E13</f>
        <v>3.1438447111368388</v>
      </c>
      <c r="G13" s="96">
        <f t="shared" si="0"/>
        <v>0.8000532738539079</v>
      </c>
      <c r="H13" s="96">
        <f>$C$6*SUM($G$9:G13)*I13/10000</f>
        <v>3.1438447111368397</v>
      </c>
      <c r="I13" s="98">
        <f>(C13*(1-$D$9)*E13)/SUM($B$17:B21)*10000</f>
        <v>70.694922146142417</v>
      </c>
    </row>
    <row r="14" spans="1:17" x14ac:dyDescent="0.2">
      <c r="F14" s="44"/>
      <c r="G14" s="50"/>
      <c r="H14" s="50"/>
      <c r="I14" s="44"/>
    </row>
    <row r="15" spans="1:17" x14ac:dyDescent="0.2">
      <c r="A15" s="44"/>
      <c r="B15" s="44"/>
      <c r="C15" s="44"/>
      <c r="E15" s="44"/>
      <c r="F15" s="44"/>
      <c r="G15" s="44"/>
      <c r="H15" s="50"/>
      <c r="I15" s="44"/>
    </row>
    <row r="16" spans="1:17" x14ac:dyDescent="0.2">
      <c r="A16" s="44"/>
      <c r="B16" s="61" t="s">
        <v>51</v>
      </c>
      <c r="C16" s="44"/>
      <c r="E16" s="44"/>
      <c r="F16" s="50"/>
      <c r="G16" s="44"/>
      <c r="H16" s="50"/>
      <c r="I16" s="44"/>
    </row>
    <row r="17" spans="1:17" x14ac:dyDescent="0.2">
      <c r="A17" s="44"/>
      <c r="B17" s="49">
        <f>C9*(1-E9)</f>
        <v>0.97034928824876709</v>
      </c>
      <c r="C17" s="97" t="s">
        <v>52</v>
      </c>
      <c r="E17" s="44"/>
      <c r="F17" s="50"/>
      <c r="G17" s="44"/>
      <c r="H17" s="50"/>
      <c r="I17" s="44"/>
      <c r="J17" s="44"/>
    </row>
    <row r="18" spans="1:17" x14ac:dyDescent="0.2">
      <c r="A18" s="44"/>
      <c r="B18" s="49">
        <f>C10*(1-E10)</f>
        <v>0.93468271743551634</v>
      </c>
      <c r="C18" s="97" t="s">
        <v>53</v>
      </c>
      <c r="E18" s="44"/>
      <c r="F18" s="50"/>
      <c r="G18" s="44"/>
      <c r="H18" s="50"/>
      <c r="I18" s="44"/>
    </row>
    <row r="19" spans="1:17" s="17" customFormat="1" ht="14.25" customHeight="1" x14ac:dyDescent="0.2">
      <c r="A19" s="49"/>
      <c r="B19" s="49">
        <f>C11*(1-E11)</f>
        <v>0.89541510784003098</v>
      </c>
      <c r="C19" s="19" t="s">
        <v>54</v>
      </c>
      <c r="E19" s="49"/>
      <c r="F19" s="50"/>
      <c r="G19" s="44"/>
      <c r="H19" s="50"/>
      <c r="I19" s="44"/>
      <c r="K19" s="49"/>
      <c r="L19" s="49"/>
      <c r="M19" s="49"/>
      <c r="N19" s="49"/>
      <c r="O19" s="49"/>
      <c r="P19" s="49"/>
      <c r="Q19" s="49"/>
    </row>
    <row r="20" spans="1:17" x14ac:dyDescent="0.2">
      <c r="A20" s="44"/>
      <c r="B20" s="49">
        <f>C12*(1-E12)</f>
        <v>0.84655834852051781</v>
      </c>
      <c r="C20" s="97" t="s">
        <v>54</v>
      </c>
      <c r="E20" s="44"/>
      <c r="F20" s="50"/>
      <c r="G20" s="44"/>
      <c r="H20" s="50"/>
      <c r="I20" s="44"/>
      <c r="J20" s="30"/>
    </row>
    <row r="21" spans="1:17" x14ac:dyDescent="0.2">
      <c r="A21" s="44"/>
      <c r="B21" s="49">
        <f>C13*(1-E13)</f>
        <v>0.8000532738539079</v>
      </c>
      <c r="C21" s="97" t="s">
        <v>55</v>
      </c>
      <c r="E21" s="44"/>
      <c r="F21" s="44"/>
      <c r="G21" s="44"/>
      <c r="J21" s="30"/>
    </row>
    <row r="22" spans="1:17" x14ac:dyDescent="0.2">
      <c r="A22" s="44"/>
    </row>
    <row r="23" spans="1:17" x14ac:dyDescent="0.2">
      <c r="A23" s="44"/>
    </row>
    <row r="24" spans="1:17" x14ac:dyDescent="0.2">
      <c r="K24" s="41"/>
    </row>
    <row r="25" spans="1:17" x14ac:dyDescent="0.2">
      <c r="K25" s="41"/>
    </row>
    <row r="26" spans="1:17" x14ac:dyDescent="0.2">
      <c r="K26" s="41"/>
    </row>
    <row r="27" spans="1:17" x14ac:dyDescent="0.2">
      <c r="K27" s="41"/>
    </row>
    <row r="28" spans="1:17" x14ac:dyDescent="0.2">
      <c r="K28" s="41"/>
    </row>
    <row r="29" spans="1:17" x14ac:dyDescent="0.2">
      <c r="K29" s="41"/>
    </row>
    <row r="30" spans="1:17" x14ac:dyDescent="0.2">
      <c r="K30" s="41"/>
    </row>
    <row r="31" spans="1:17" s="70" customFormat="1" x14ac:dyDescent="0.2">
      <c r="L31" s="71"/>
      <c r="M31" s="71"/>
      <c r="N31" s="71"/>
      <c r="O31" s="71"/>
      <c r="P31" s="71"/>
      <c r="Q31" s="71"/>
    </row>
    <row r="32" spans="1:17" x14ac:dyDescent="0.2">
      <c r="K32" s="41"/>
    </row>
    <row r="33" spans="11:11" x14ac:dyDescent="0.2">
      <c r="K33" s="41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1:Q34"/>
  <sheetViews>
    <sheetView zoomScale="75" workbookViewId="0">
      <selection activeCell="J13" sqref="J13"/>
    </sheetView>
  </sheetViews>
  <sheetFormatPr defaultRowHeight="12.75" x14ac:dyDescent="0.2"/>
  <cols>
    <col min="1" max="1" width="4.42578125" style="41" customWidth="1"/>
    <col min="2" max="2" width="10.85546875" style="41" customWidth="1"/>
    <col min="3" max="3" width="12.28515625" style="41" bestFit="1" customWidth="1"/>
    <col min="4" max="4" width="10.140625" style="41" customWidth="1"/>
    <col min="5" max="5" width="11.140625" style="41" customWidth="1"/>
    <col min="6" max="6" width="10.140625" style="41" customWidth="1"/>
    <col min="7" max="7" width="10.85546875" style="41" customWidth="1"/>
    <col min="8" max="8" width="11.5703125" style="41" customWidth="1"/>
    <col min="9" max="9" width="10.140625" style="41" customWidth="1"/>
    <col min="10" max="10" width="9.5703125" style="41" bestFit="1" customWidth="1"/>
    <col min="11" max="11" width="9.140625" style="44"/>
    <col min="12" max="12" width="12" style="44" customWidth="1"/>
    <col min="13" max="14" width="9.140625" style="44"/>
    <col min="15" max="15" width="6.7109375" style="44" customWidth="1"/>
    <col min="16" max="17" width="9.140625" style="44"/>
    <col min="18" max="16384" width="9.140625" style="41"/>
  </cols>
  <sheetData>
    <row r="1" spans="1:17" ht="13.5" thickBot="1" x14ac:dyDescent="0.25">
      <c r="F1" s="44"/>
      <c r="G1" s="44"/>
      <c r="H1" s="44"/>
      <c r="I1" s="44"/>
      <c r="J1" s="44"/>
    </row>
    <row r="2" spans="1:17" ht="13.5" thickBot="1" x14ac:dyDescent="0.25">
      <c r="B2" s="45" t="s">
        <v>50</v>
      </c>
      <c r="C2" s="42"/>
      <c r="D2" s="42"/>
      <c r="E2" s="43"/>
      <c r="F2" s="44"/>
      <c r="G2" s="44"/>
      <c r="H2" s="44"/>
      <c r="I2" s="44"/>
      <c r="M2" s="41"/>
      <c r="N2" s="41"/>
      <c r="O2" s="41"/>
    </row>
    <row r="3" spans="1:17" ht="12" customHeight="1" thickBot="1" x14ac:dyDescent="0.25">
      <c r="F3" s="44"/>
      <c r="G3" s="44"/>
      <c r="H3" s="44"/>
      <c r="I3" s="44"/>
      <c r="L3" s="41"/>
      <c r="M3" s="41"/>
      <c r="N3" s="41"/>
      <c r="O3" s="41"/>
    </row>
    <row r="4" spans="1:17" ht="13.5" thickBot="1" x14ac:dyDescent="0.25">
      <c r="B4" s="63" t="s">
        <v>36</v>
      </c>
      <c r="C4" s="75"/>
      <c r="D4" s="76"/>
      <c r="N4" s="41"/>
      <c r="O4" s="41"/>
    </row>
    <row r="5" spans="1:17" s="72" customFormat="1" ht="13.5" thickBot="1" x14ac:dyDescent="0.25">
      <c r="B5" s="73"/>
      <c r="C5" s="73"/>
      <c r="P5" s="73"/>
      <c r="Q5" s="73"/>
    </row>
    <row r="6" spans="1:17" x14ac:dyDescent="0.2">
      <c r="B6" s="57" t="s">
        <v>25</v>
      </c>
      <c r="C6" s="56">
        <v>100</v>
      </c>
      <c r="F6" s="44"/>
      <c r="G6" s="44"/>
      <c r="H6" s="44"/>
      <c r="I6" s="44"/>
      <c r="L6" s="41"/>
      <c r="M6" s="41"/>
      <c r="N6" s="41"/>
      <c r="O6" s="41"/>
    </row>
    <row r="7" spans="1:17" ht="13.5" thickBot="1" x14ac:dyDescent="0.25">
      <c r="B7" s="58" t="s">
        <v>30</v>
      </c>
      <c r="C7" s="59">
        <v>58.0628920487313</v>
      </c>
      <c r="D7" s="41" t="s">
        <v>33</v>
      </c>
      <c r="F7" s="44"/>
      <c r="G7" s="44"/>
      <c r="H7" s="44"/>
      <c r="I7" s="44"/>
      <c r="L7" s="41"/>
      <c r="M7" s="41"/>
      <c r="N7" s="41"/>
      <c r="O7" s="41"/>
    </row>
    <row r="8" spans="1:17" ht="13.5" thickBot="1" x14ac:dyDescent="0.25">
      <c r="F8" s="44"/>
      <c r="G8" s="44"/>
      <c r="H8" s="44"/>
      <c r="I8" s="44"/>
      <c r="L8" s="41"/>
      <c r="M8" s="41"/>
      <c r="N8" s="41"/>
      <c r="O8" s="41"/>
    </row>
    <row r="9" spans="1:17" s="55" customFormat="1" ht="39" thickBot="1" x14ac:dyDescent="0.25">
      <c r="B9" s="52" t="s">
        <v>1</v>
      </c>
      <c r="C9" s="52" t="s">
        <v>15</v>
      </c>
      <c r="D9" s="52" t="s">
        <v>20</v>
      </c>
      <c r="E9" s="52" t="s">
        <v>22</v>
      </c>
      <c r="F9" s="52" t="s">
        <v>27</v>
      </c>
      <c r="G9" s="52" t="s">
        <v>31</v>
      </c>
      <c r="H9" s="52" t="s">
        <v>28</v>
      </c>
      <c r="I9" s="52" t="s">
        <v>29</v>
      </c>
      <c r="K9" s="69"/>
      <c r="L9" s="41"/>
      <c r="N9" s="41"/>
      <c r="O9" s="41"/>
      <c r="P9" s="69"/>
      <c r="Q9" s="69"/>
    </row>
    <row r="10" spans="1:17" ht="13.5" thickBot="1" x14ac:dyDescent="0.25">
      <c r="B10" s="33">
        <f>Data!B9</f>
        <v>1</v>
      </c>
      <c r="C10" s="34">
        <f>Default_probs!D5</f>
        <v>0.97950395875279184</v>
      </c>
      <c r="D10" s="34">
        <f>Data!I25</f>
        <v>0.4884</v>
      </c>
      <c r="E10" s="34">
        <f>Default_probs!J5</f>
        <v>9.3462312451308861E-3</v>
      </c>
      <c r="F10" s="96">
        <f>$C$6*C10*(1-$D$10)*E10</f>
        <v>0.46835294298590563</v>
      </c>
      <c r="G10" s="96">
        <f>C10*$C$7/10000*(1-E10)</f>
        <v>5.6341285973151413E-3</v>
      </c>
      <c r="H10" s="96">
        <f>$C$6*SUM($G$10:G10)</f>
        <v>0.56341285973151412</v>
      </c>
      <c r="I10" s="96">
        <f>F10-H10</f>
        <v>-9.5059916745608486E-2</v>
      </c>
      <c r="L10" s="41"/>
      <c r="M10" s="41"/>
      <c r="N10" s="41"/>
      <c r="O10" s="41"/>
    </row>
    <row r="11" spans="1:17" ht="13.5" thickBot="1" x14ac:dyDescent="0.25">
      <c r="B11" s="35">
        <f>Data!B10</f>
        <v>2</v>
      </c>
      <c r="C11" s="36">
        <f>Default_probs!D6</f>
        <v>0.95630344997957906</v>
      </c>
      <c r="D11" s="36"/>
      <c r="E11" s="36">
        <f>Default_probs!J6</f>
        <v>2.2608652666184947E-2</v>
      </c>
      <c r="F11" s="96">
        <f>$C$6*C11*(1-$D$10)*E11</f>
        <v>1.1061166769542463</v>
      </c>
      <c r="G11" s="96">
        <f>C11*$C$7/10000*(1-E11)</f>
        <v>5.4270381722273213E-3</v>
      </c>
      <c r="H11" s="96">
        <f>$C$6*SUM($G$10:G11)</f>
        <v>1.1061166769542461</v>
      </c>
      <c r="I11" s="96">
        <f>F11-H11</f>
        <v>0</v>
      </c>
      <c r="L11" s="41"/>
    </row>
    <row r="12" spans="1:17" ht="13.5" thickBot="1" x14ac:dyDescent="0.25">
      <c r="B12" s="35">
        <f>Data!B11</f>
        <v>3</v>
      </c>
      <c r="C12" s="36">
        <f>Default_probs!D7</f>
        <v>0.92820840226692158</v>
      </c>
      <c r="D12" s="36"/>
      <c r="E12" s="36">
        <f>Default_probs!J7</f>
        <v>3.5329667719879498E-2</v>
      </c>
      <c r="F12" s="96">
        <f>$C$6*C12*(1-$D$10)*E12</f>
        <v>1.6777049428797226</v>
      </c>
      <c r="G12" s="96">
        <f>C12*$C$7/10000*(1-E12)</f>
        <v>5.1990390745318806E-3</v>
      </c>
      <c r="H12" s="96">
        <f>$C$6*SUM($G$10:G12)</f>
        <v>1.6260205844074342</v>
      </c>
      <c r="I12" s="96">
        <f>F12-H12</f>
        <v>5.1684358472288361E-2</v>
      </c>
    </row>
    <row r="13" spans="1:17" ht="13.5" thickBot="1" x14ac:dyDescent="0.25">
      <c r="B13" s="35">
        <f>Data!B12</f>
        <v>4</v>
      </c>
      <c r="C13" s="36">
        <f>Default_probs!D8</f>
        <v>0.89662640280277461</v>
      </c>
      <c r="D13" s="36"/>
      <c r="E13" s="36">
        <f>Default_probs!J8</f>
        <v>5.5840486211144867E-2</v>
      </c>
      <c r="F13" s="96">
        <f>$C$6*C13*(1-$D$10)*E13</f>
        <v>2.5614816570802557</v>
      </c>
      <c r="G13" s="96">
        <f>C13*$C$7/10000*(1-E13)</f>
        <v>4.9153626003099081E-3</v>
      </c>
      <c r="H13" s="96">
        <f>$C$6*SUM($G$10:G13)</f>
        <v>2.117556844438425</v>
      </c>
      <c r="I13" s="96">
        <f>F13-H13</f>
        <v>0.4439248126418307</v>
      </c>
    </row>
    <row r="14" spans="1:17" ht="13.5" thickBot="1" x14ac:dyDescent="0.25">
      <c r="B14" s="37">
        <f>Data!B13</f>
        <v>5</v>
      </c>
      <c r="C14" s="38">
        <f>Default_probs!D9</f>
        <v>0.86150449963844344</v>
      </c>
      <c r="D14" s="38"/>
      <c r="E14" s="38">
        <f>Default_probs!J9</f>
        <v>7.1330127480849409E-2</v>
      </c>
      <c r="F14" s="96">
        <f>$C$6*C14*(1-$D$10)*E14</f>
        <v>3.1438447111368388</v>
      </c>
      <c r="G14" s="96">
        <f>C14*$C$7/10000*(1-E14)</f>
        <v>4.6453406873013508E-3</v>
      </c>
      <c r="H14" s="96">
        <f>$C$6*SUM($G$10:G14)</f>
        <v>2.5820909131685603</v>
      </c>
      <c r="I14" s="96">
        <f>F14-H14</f>
        <v>0.56175379796827851</v>
      </c>
    </row>
    <row r="15" spans="1:17" x14ac:dyDescent="0.2">
      <c r="F15" s="44"/>
      <c r="G15" s="50"/>
      <c r="H15" s="50"/>
      <c r="I15" s="44"/>
    </row>
    <row r="16" spans="1:17" x14ac:dyDescent="0.2">
      <c r="A16" s="44"/>
      <c r="B16" s="44"/>
      <c r="C16" s="44"/>
      <c r="E16" s="44"/>
      <c r="F16" s="44"/>
      <c r="G16" s="44"/>
      <c r="H16" s="50"/>
      <c r="I16" s="44"/>
    </row>
    <row r="17" spans="1:17" x14ac:dyDescent="0.2">
      <c r="A17" s="44"/>
      <c r="B17" s="44"/>
      <c r="C17" s="44"/>
      <c r="E17" s="44"/>
      <c r="F17" s="50"/>
      <c r="G17" s="44"/>
      <c r="H17" s="50"/>
      <c r="I17" s="44"/>
    </row>
    <row r="18" spans="1:17" x14ac:dyDescent="0.2">
      <c r="A18" s="44"/>
      <c r="B18" s="49"/>
      <c r="C18" s="49"/>
      <c r="E18" s="44"/>
      <c r="F18" s="50"/>
      <c r="G18" s="44"/>
      <c r="H18" s="50"/>
      <c r="I18" s="44"/>
      <c r="J18" s="44"/>
    </row>
    <row r="19" spans="1:17" x14ac:dyDescent="0.2">
      <c r="A19" s="44"/>
      <c r="B19" s="48"/>
      <c r="C19" s="48"/>
      <c r="E19" s="44"/>
      <c r="F19" s="50"/>
      <c r="G19" s="44"/>
      <c r="H19" s="50"/>
      <c r="I19" s="44"/>
    </row>
    <row r="20" spans="1:17" s="17" customFormat="1" ht="14.25" customHeight="1" x14ac:dyDescent="0.2">
      <c r="A20" s="49"/>
      <c r="B20" s="48"/>
      <c r="C20" s="48"/>
      <c r="E20" s="49"/>
      <c r="F20" s="50"/>
      <c r="G20" s="44"/>
      <c r="H20" s="50"/>
      <c r="I20" s="44"/>
      <c r="K20" s="49"/>
      <c r="L20" s="49"/>
      <c r="M20" s="49"/>
      <c r="N20" s="49"/>
      <c r="O20" s="49"/>
      <c r="P20" s="49"/>
      <c r="Q20" s="49"/>
    </row>
    <row r="21" spans="1:17" x14ac:dyDescent="0.2">
      <c r="A21" s="44"/>
      <c r="B21" s="48"/>
      <c r="C21" s="48"/>
      <c r="E21" s="44"/>
      <c r="F21" s="50"/>
      <c r="G21" s="44"/>
      <c r="H21" s="50"/>
      <c r="I21" s="44"/>
      <c r="J21" s="30"/>
    </row>
    <row r="22" spans="1:17" x14ac:dyDescent="0.2">
      <c r="A22" s="44"/>
      <c r="B22" s="48"/>
      <c r="C22" s="48"/>
      <c r="E22" s="44"/>
      <c r="F22" s="86"/>
      <c r="G22" s="44"/>
      <c r="J22" s="30"/>
    </row>
    <row r="23" spans="1:17" x14ac:dyDescent="0.2">
      <c r="A23" s="44"/>
      <c r="F23" s="86"/>
    </row>
    <row r="24" spans="1:17" x14ac:dyDescent="0.2">
      <c r="A24" s="44"/>
      <c r="F24" s="86"/>
    </row>
    <row r="25" spans="1:17" x14ac:dyDescent="0.2">
      <c r="F25" s="86"/>
      <c r="K25" s="41"/>
    </row>
    <row r="26" spans="1:17" x14ac:dyDescent="0.2">
      <c r="F26" s="86"/>
      <c r="K26" s="41"/>
    </row>
    <row r="27" spans="1:17" x14ac:dyDescent="0.2">
      <c r="F27" s="44"/>
      <c r="K27" s="41"/>
    </row>
    <row r="28" spans="1:17" x14ac:dyDescent="0.2">
      <c r="F28" s="44"/>
      <c r="K28" s="41"/>
    </row>
    <row r="29" spans="1:17" x14ac:dyDescent="0.2">
      <c r="F29" s="44"/>
      <c r="K29" s="41"/>
    </row>
    <row r="30" spans="1:17" x14ac:dyDescent="0.2">
      <c r="K30" s="41"/>
    </row>
    <row r="31" spans="1:17" x14ac:dyDescent="0.2">
      <c r="K31" s="41"/>
    </row>
    <row r="32" spans="1:17" s="70" customFormat="1" x14ac:dyDescent="0.2">
      <c r="L32" s="71"/>
      <c r="M32" s="71"/>
      <c r="N32" s="71"/>
      <c r="O32" s="71"/>
      <c r="P32" s="71"/>
      <c r="Q32" s="71"/>
    </row>
    <row r="33" spans="11:11" x14ac:dyDescent="0.2">
      <c r="K33" s="41"/>
    </row>
    <row r="34" spans="11:11" x14ac:dyDescent="0.2">
      <c r="K34" s="41"/>
    </row>
  </sheetData>
  <phoneticPr fontId="0" type="noConversion"/>
  <pageMargins left="0.75" right="0.75" top="1" bottom="1" header="0.5" footer="0.5"/>
  <pageSetup paperSize="9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Data</vt:lpstr>
      <vt:lpstr>Assumptions</vt:lpstr>
      <vt:lpstr>Default_probs</vt:lpstr>
      <vt:lpstr>Default_put_option</vt:lpstr>
      <vt:lpstr>Default_swap_rate</vt:lpstr>
      <vt:lpstr>Default_swap_value</vt:lpstr>
    </vt:vector>
  </TitlesOfParts>
  <Company>Dip. Statistica e Matematica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Fabrizio Timo</cp:lastModifiedBy>
  <cp:lastPrinted>2004-03-01T14:31:07Z</cp:lastPrinted>
  <dcterms:created xsi:type="dcterms:W3CDTF">2003-09-25T07:43:12Z</dcterms:created>
  <dcterms:modified xsi:type="dcterms:W3CDTF">2017-02-07T18:21:02Z</dcterms:modified>
</cp:coreProperties>
</file>